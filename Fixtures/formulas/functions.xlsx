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<sst xmlns="http://schemas.openxmlformats.org/spreadsheetml/2006/main" count="81" uniqueCount="78">
  <si>
    <t xml:space="preserve">alpha</t>
  </si>
  <si>
    <t xml:space="preserve">  padded  </t>
  </si>
  <si>
    <t xml:space="preserve">beta</t>
  </si>
  <si>
    <t xml:space="preserve">hello world</t>
  </si>
  <si>
    <t xml:space="preserve">gamma</t>
  </si>
  <si>
    <t xml:space="preserve">mIxEd CaSe</t>
  </si>
  <si>
    <t xml:space="preserve">x</t>
  </si>
  <si>
    <t xml:space="preserve">y</t>
  </si>
  <si>
    <t xml:space="preserve">z</t>
  </si>
  <si>
    <t xml:space="preserve">SUM</t>
  </si>
  <si>
    <t xml:space="preserve">AVERAGE</t>
  </si>
  <si>
    <t xml:space="preserve">COUNT</t>
  </si>
  <si>
    <t xml:space="preserve">COUNTA</t>
  </si>
  <si>
    <t xml:space="preserve">MIN</t>
  </si>
  <si>
    <t xml:space="preserve">MAX</t>
  </si>
  <si>
    <t xml:space="preserve">ROUND</t>
  </si>
  <si>
    <t xml:space="preserve">ROUNDUP</t>
  </si>
  <si>
    <t xml:space="preserve">ROUNDDOWN</t>
  </si>
  <si>
    <t xml:space="preserve">ABS</t>
  </si>
  <si>
    <t xml:space="preserve">SQRT</t>
  </si>
  <si>
    <t xml:space="preserve">POWER</t>
  </si>
  <si>
    <t xml:space="preserve">MOD</t>
  </si>
  <si>
    <t xml:space="preserve">SUMPRODUCT</t>
  </si>
  <si>
    <t xml:space="preserve">SUBTOTAL</t>
  </si>
  <si>
    <t xml:space="preserve">IF</t>
  </si>
  <si>
    <t xml:space="preserve">IFS</t>
  </si>
  <si>
    <t xml:space="preserve">AND</t>
  </si>
  <si>
    <t xml:space="preserve">OR</t>
  </si>
  <si>
    <t xml:space="preserve">NOT</t>
  </si>
  <si>
    <t xml:space="preserve">IFERROR</t>
  </si>
  <si>
    <t xml:space="preserve">SWITCH</t>
  </si>
  <si>
    <t xml:space="preserve">VLOOKUP</t>
  </si>
  <si>
    <t xml:space="preserve">HLOOKUP</t>
  </si>
  <si>
    <t xml:space="preserve">XLOOKUP</t>
  </si>
  <si>
    <t xml:space="preserve">INDEX</t>
  </si>
  <si>
    <t xml:space="preserve">MATCH</t>
  </si>
  <si>
    <t xml:space="preserve">OFFSET</t>
  </si>
  <si>
    <t xml:space="preserve">INDIRECT</t>
  </si>
  <si>
    <t xml:space="preserve">CHOOSE</t>
  </si>
  <si>
    <t xml:space="preserve">CONCAT</t>
  </si>
  <si>
    <t xml:space="preserve">TEXTJOIN</t>
  </si>
  <si>
    <t xml:space="preserve">LEFT</t>
  </si>
  <si>
    <t xml:space="preserve">RIGHT</t>
  </si>
  <si>
    <t xml:space="preserve">MID</t>
  </si>
  <si>
    <t xml:space="preserve">LEN</t>
  </si>
  <si>
    <t xml:space="preserve">TRIM</t>
  </si>
  <si>
    <t xml:space="preserve">UPPER</t>
  </si>
  <si>
    <t xml:space="preserve">LOWER</t>
  </si>
  <si>
    <t xml:space="preserve">PROPER</t>
  </si>
  <si>
    <t xml:space="preserve">SUBSTITUTE</t>
  </si>
  <si>
    <t xml:space="preserve">REPLACE</t>
  </si>
  <si>
    <t xml:space="preserve">TEXT</t>
  </si>
  <si>
    <t xml:space="preserve">VALUE</t>
  </si>
  <si>
    <t xml:space="preserve">DATE</t>
  </si>
  <si>
    <t xml:space="preserve">YEAR</t>
  </si>
  <si>
    <t xml:space="preserve">MONTH</t>
  </si>
  <si>
    <t xml:space="preserve">DAY</t>
  </si>
  <si>
    <t xml:space="preserve">EDATE</t>
  </si>
  <si>
    <t xml:space="preserve">EOMONTH</t>
  </si>
  <si>
    <t xml:space="preserve">DATEDIF</t>
  </si>
  <si>
    <t xml:space="preserve">WEEKDAY</t>
  </si>
  <si>
    <t xml:space="preserve">NETWORKDAYS</t>
  </si>
  <si>
    <t xml:space="preserve">MEDIAN</t>
  </si>
  <si>
    <t xml:space="preserve">STDEV.P</t>
  </si>
  <si>
    <t xml:space="preserve">STDEV.S</t>
  </si>
  <si>
    <t xml:space="preserve">VAR</t>
  </si>
  <si>
    <t xml:space="preserve">PERCENTILE</t>
  </si>
  <si>
    <t xml:space="preserve">QUARTILE</t>
  </si>
  <si>
    <t xml:space="preserve">RANK</t>
  </si>
  <si>
    <t xml:space="preserve">CORREL</t>
  </si>
  <si>
    <t xml:space="preserve">SUMIF</t>
  </si>
  <si>
    <t xml:space="preserve">SUMIFS</t>
  </si>
  <si>
    <t xml:space="preserve">COUNTIF</t>
  </si>
  <si>
    <t xml:space="preserve">COUNTIFS</t>
  </si>
  <si>
    <t xml:space="preserve">AVERAGEIF</t>
  </si>
  <si>
    <t xml:space="preserve">AVERAGEIFS</t>
  </si>
  <si>
    <t xml:space="preserve">MAXIFS</t>
  </si>
  <si>
    <t xml:space="preserve">MINIFS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</si>
</sst>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10</v>
      </c>
      <c r="B1" s="0" t="s">
        <v>0</v>
      </c>
      <c r="C1" s="0" t="n">
        <v>1.5</v>
      </c>
      <c r="D1" s="0" t="s">
        <v>1</v>
      </c>
    </row>
    <row r="2" customFormat="false" ht="15" hidden="false" customHeight="false" outlineLevel="0" collapsed="false">
      <c r="A2" s="0" t="n">
        <v>20</v>
      </c>
      <c r="B2" s="0" t="s">
        <v>2</v>
      </c>
      <c r="C2" s="0" t="n">
        <v>2.5</v>
      </c>
      <c r="D2" s="0" t="s">
        <v>3</v>
      </c>
    </row>
    <row r="3" customFormat="false" ht="15" hidden="false" customHeight="false" outlineLevel="0" collapsed="false">
      <c r="A3" s="0" t="n">
        <v>30</v>
      </c>
      <c r="B3" s="0" t="s">
        <v>4</v>
      </c>
      <c r="C3" s="0" t="n">
        <v>3.5</v>
      </c>
      <c r="D3" s="0" t="s">
        <v>5</v>
      </c>
    </row>
    <row r="4" customFormat="false" ht="15" hidden="false" customHeight="false" outlineLevel="0" collapsed="false">
      <c r="A4" s="0" t="n">
        <v>40</v>
      </c>
      <c r="B4" s="0" t="s">
        <v>0</v>
      </c>
      <c r="C4" s="0" t="n">
        <v>4.5</v>
      </c>
    </row>
    <row r="5" customFormat="false" ht="15" hidden="false" customHeight="false" outlineLevel="0" collapsed="false">
      <c r="A5" s="0" t="n">
        <v>50</v>
      </c>
      <c r="B5" s="0" t="s">
        <v>2</v>
      </c>
      <c r="C5" s="0" t="n">
        <v>5.5</v>
      </c>
    </row>
    <row r="6" customFormat="false" ht="15" hidden="false" customHeight="false" outlineLevel="0" collapsed="false">
      <c r="A6" s="0" t="n">
        <v>60</v>
      </c>
      <c r="B6" s="0" t="s">
        <v>4</v>
      </c>
      <c r="C6" s="0" t="n">
        <v>6.5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8</v>
      </c>
    </row>
    <row r="11" customFormat="false" ht="15" hidden="false" customHeight="false" outlineLevel="0" collapsed="false">
      <c r="A11" s="0" t="n">
        <v>1</v>
      </c>
      <c r="B11" s="0" t="n">
        <v>2</v>
      </c>
      <c r="C1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0" t="n">
        <f aca="false">SUM(Data!A1:A6)</f>
        <v>210</v>
      </c>
    </row>
    <row r="2" customFormat="false" ht="15" hidden="false" customHeight="false" outlineLevel="0" collapsed="false">
      <c r="A2" s="0" t="s">
        <v>10</v>
      </c>
      <c r="B2" s="0" t="n">
        <f aca="false">AVERAGE(Data!A1:A6)</f>
        <v>35</v>
      </c>
    </row>
    <row r="3" customFormat="false" ht="15" hidden="false" customHeight="false" outlineLevel="0" collapsed="false">
      <c r="A3" s="0" t="s">
        <v>11</v>
      </c>
      <c r="B3" s="0" t="n">
        <f aca="false">COUNT(Data!A1:A6)</f>
        <v>6</v>
      </c>
    </row>
    <row r="4" customFormat="false" ht="15" hidden="false" customHeight="false" outlineLevel="0" collapsed="false">
      <c r="A4" s="0" t="s">
        <v>12</v>
      </c>
      <c r="B4" s="0" t="n">
        <f aca="false">COUNTA(Data!B1:B6)</f>
        <v>6</v>
      </c>
    </row>
    <row r="5" customFormat="false" ht="15" hidden="false" customHeight="false" outlineLevel="0" collapsed="false">
      <c r="A5" s="0" t="s">
        <v>13</v>
      </c>
      <c r="B5" s="0" t="n">
        <f aca="false">MIN(Data!A1:A6)</f>
        <v>10</v>
      </c>
    </row>
    <row r="6" customFormat="false" ht="15" hidden="false" customHeight="false" outlineLevel="0" collapsed="false">
      <c r="A6" s="0" t="s">
        <v>14</v>
      </c>
      <c r="B6" s="0" t="n">
        <f aca="false">MAX(Data!A1:A6)</f>
        <v>60</v>
      </c>
    </row>
    <row r="7" customFormat="false" ht="15" hidden="false" customHeight="false" outlineLevel="0" collapsed="false">
      <c r="A7" s="0" t="s">
        <v>15</v>
      </c>
      <c r="B7" s="0" t="n">
        <f aca="false">ROUND(2.567,2)</f>
        <v>2.57</v>
      </c>
    </row>
    <row r="8" customFormat="false" ht="15" hidden="false" customHeight="false" outlineLevel="0" collapsed="false">
      <c r="A8" s="0" t="s">
        <v>16</v>
      </c>
      <c r="B8" s="0" t="n">
        <f aca="false">ROUNDUP(2.111,2)</f>
        <v>2.12</v>
      </c>
    </row>
    <row r="9" customFormat="false" ht="15" hidden="false" customHeight="false" outlineLevel="0" collapsed="false">
      <c r="A9" s="0" t="s">
        <v>17</v>
      </c>
      <c r="B9" s="0" t="n">
        <f aca="false">ROUNDDOWN(2.999,2)</f>
        <v>2.99</v>
      </c>
    </row>
    <row r="10" customFormat="false" ht="15" hidden="false" customHeight="false" outlineLevel="0" collapsed="false">
      <c r="A10" s="0" t="s">
        <v>18</v>
      </c>
      <c r="B10" s="0" t="n">
        <f aca="false">ABS(-7.5)</f>
        <v>7.5</v>
      </c>
    </row>
    <row r="11" customFormat="false" ht="15" hidden="false" customHeight="false" outlineLevel="0" collapsed="false">
      <c r="A11" s="0" t="s">
        <v>19</v>
      </c>
      <c r="B11" s="0" t="n">
        <f aca="false">SQRT(144)</f>
        <v>12</v>
      </c>
    </row>
    <row r="12" customFormat="false" ht="15" hidden="false" customHeight="false" outlineLevel="0" collapsed="false">
      <c r="A12" s="0" t="s">
        <v>20</v>
      </c>
      <c r="B12" s="0" t="n">
        <f aca="false">POWER(2,10)</f>
        <v>1024</v>
      </c>
    </row>
    <row r="13" customFormat="false" ht="15" hidden="false" customHeight="false" outlineLevel="0" collapsed="false">
      <c r="A13" s="0" t="s">
        <v>21</v>
      </c>
      <c r="B13" s="0" t="n">
        <f aca="false">MOD(17,5)</f>
        <v>2</v>
      </c>
    </row>
    <row r="14" customFormat="false" ht="15" hidden="false" customHeight="false" outlineLevel="0" collapsed="false">
      <c r="A14" s="0" t="s">
        <v>22</v>
      </c>
      <c r="B14" s="0" t="n">
        <f aca="false">SUMPRODUCT(Data!A1:A3,Data!C1:C3)</f>
        <v>170</v>
      </c>
    </row>
    <row r="15" customFormat="false" ht="15" hidden="false" customHeight="false" outlineLevel="0" collapsed="false">
      <c r="A15" s="0" t="s">
        <v>23</v>
      </c>
      <c r="B15" s="0" t="n">
        <f aca="false">SUBTOTAL(9,Data!A1:A6)</f>
        <v>210</v>
      </c>
    </row>
    <row r="16" customFormat="false" ht="15" hidden="false" customHeight="false" outlineLevel="0" collapsed="false">
      <c r="A16" s="0" t="s">
        <v>24</v>
      </c>
      <c r="B16" s="0" t="str">
        <f aca="false">IF(Data!A1&gt;5,"yes","no")</f>
        <v>yes</v>
      </c>
    </row>
    <row r="17" customFormat="false" ht="15" hidden="false" customHeight="false" outlineLevel="0" collapsed="false">
      <c r="A17" s="0" t="s">
        <v>25</v>
      </c>
      <c r="B17" s="0" t="str">
        <f aca="false">_xlfn.IFS(Data!A1&gt;100,"big",Data!A1&gt;5,"mid",TRUE(),"small")</f>
        <v>mid</v>
      </c>
    </row>
    <row r="18" customFormat="false" ht="15" hidden="false" customHeight="false" outlineLevel="0" collapsed="false">
      <c r="A18" s="0" t="s">
        <v>26</v>
      </c>
      <c r="B18" s="1" t="b">
        <f aca="false">AND(TRUE(),Data!A1=10)</f>
        <v>1</v>
      </c>
    </row>
    <row r="19" customFormat="false" ht="15" hidden="false" customHeight="false" outlineLevel="0" collapsed="false">
      <c r="A19" s="0" t="s">
        <v>27</v>
      </c>
      <c r="B19" s="1" t="b">
        <f aca="false">OR(FALSE(),Data!A1=99)</f>
        <v>0</v>
      </c>
    </row>
    <row r="20" customFormat="false" ht="15" hidden="false" customHeight="false" outlineLevel="0" collapsed="false">
      <c r="A20" s="0" t="s">
        <v>28</v>
      </c>
      <c r="B20" s="1" t="b">
        <f aca="false">NOT(FALSE())</f>
        <v>1</v>
      </c>
    </row>
    <row r="21" customFormat="false" ht="15" hidden="false" customHeight="false" outlineLevel="0" collapsed="false">
      <c r="A21" s="0" t="s">
        <v>29</v>
      </c>
      <c r="B21" s="0" t="str">
        <f aca="false">IFERROR(1/0,"safe")</f>
        <v>safe</v>
      </c>
    </row>
    <row r="22" customFormat="false" ht="15" hidden="false" customHeight="false" outlineLevel="0" collapsed="false">
      <c r="A22" s="0" t="s">
        <v>30</v>
      </c>
      <c r="B22" s="0" t="str">
        <f aca="false">_xlfn.SWITCH(2,1,"one",2,"two","other")</f>
        <v>two</v>
      </c>
    </row>
    <row r="23" customFormat="false" ht="15" hidden="false" customHeight="false" outlineLevel="0" collapsed="false">
      <c r="A23" s="0" t="s">
        <v>31</v>
      </c>
      <c r="B23" s="0" t="n">
        <f aca="false">VLOOKUP("beta",Data!B1:C6,2,FALSE())</f>
        <v>2.5</v>
      </c>
    </row>
    <row r="24" customFormat="false" ht="15" hidden="false" customHeight="false" outlineLevel="0" collapsed="false">
      <c r="A24" s="0" t="s">
        <v>32</v>
      </c>
      <c r="B24" s="0" t="n">
        <f aca="false">HLOOKUP("y",Data!A10:C11,2,FALSE())</f>
        <v>2</v>
      </c>
    </row>
    <row r="25" customFormat="false" ht="15" hidden="false" customHeight="false" outlineLevel="0" collapsed="false">
      <c r="A25" s="0" t="s">
        <v>33</v>
      </c>
      <c r="B25" s="0" t="n">
        <f aca="false">_xlfn.XLOOKUP("gamma",Data!B1:B6,Data!C1:C6)</f>
        <v>3.5</v>
      </c>
    </row>
    <row r="26" customFormat="false" ht="15" hidden="false" customHeight="false" outlineLevel="0" collapsed="false">
      <c r="A26" s="0" t="s">
        <v>34</v>
      </c>
      <c r="B26" s="0" t="n">
        <f aca="false">INDEX(Data!A1:A6,3)</f>
        <v>30</v>
      </c>
    </row>
    <row r="27" customFormat="false" ht="15" hidden="false" customHeight="false" outlineLevel="0" collapsed="false">
      <c r="A27" s="0" t="s">
        <v>35</v>
      </c>
      <c r="B27" s="0" t="n">
        <f aca="false">MATCH(40,Data!A1:A6,0)</f>
        <v>4</v>
      </c>
    </row>
    <row r="28" customFormat="false" ht="15" hidden="false" customHeight="false" outlineLevel="0" collapsed="false">
      <c r="A28" s="0" t="s">
        <v>36</v>
      </c>
      <c r="B28" s="0" t="n">
        <f aca="true">OFFSET(Data!A1,2,0)</f>
        <v>30</v>
      </c>
    </row>
    <row r="29" customFormat="false" ht="15" hidden="false" customHeight="false" outlineLevel="0" collapsed="false">
      <c r="A29" s="0" t="s">
        <v>37</v>
      </c>
      <c r="B29" s="0" t="n">
        <f aca="true">INDIRECT("Data!A2")</f>
        <v>20</v>
      </c>
    </row>
    <row r="30" customFormat="false" ht="15" hidden="false" customHeight="false" outlineLevel="0" collapsed="false">
      <c r="A30" s="0" t="s">
        <v>38</v>
      </c>
      <c r="B30" s="0" t="str">
        <f aca="false">CHOOSE(3,"a","b","c")</f>
        <v>c</v>
      </c>
    </row>
    <row r="31" customFormat="false" ht="15" hidden="false" customHeight="false" outlineLevel="0" collapsed="false">
      <c r="A31" s="0" t="s">
        <v>39</v>
      </c>
      <c r="B31" s="0" t="str">
        <f aca="false">_xlfn.CONCAT(Data!B1,"-",Data!B2)</f>
        <v>alpha-beta</v>
      </c>
    </row>
    <row r="32" customFormat="false" ht="15" hidden="false" customHeight="false" outlineLevel="0" collapsed="false">
      <c r="A32" s="0" t="s">
        <v>40</v>
      </c>
      <c r="B32" s="0" t="str">
        <f aca="false">_xlfn.TEXTJOIN(",",TRUE(),Data!B1:B3)</f>
        <v>alpha,beta,gamma</v>
      </c>
    </row>
    <row r="33" customFormat="false" ht="15" hidden="false" customHeight="false" outlineLevel="0" collapsed="false">
      <c r="A33" s="0" t="s">
        <v>41</v>
      </c>
      <c r="B33" s="0" t="str">
        <f aca="false">LEFT(Data!D2,5)</f>
        <v>hello</v>
      </c>
    </row>
    <row r="34" customFormat="false" ht="15" hidden="false" customHeight="false" outlineLevel="0" collapsed="false">
      <c r="A34" s="0" t="s">
        <v>42</v>
      </c>
      <c r="B34" s="0" t="str">
        <f aca="false">RIGHT(Data!D2,5)</f>
        <v>world</v>
      </c>
    </row>
    <row r="35" customFormat="false" ht="15" hidden="false" customHeight="false" outlineLevel="0" collapsed="false">
      <c r="A35" s="0" t="s">
        <v>43</v>
      </c>
      <c r="B35" s="0" t="str">
        <f aca="false">MID(Data!D2,7,5)</f>
        <v>world</v>
      </c>
    </row>
    <row r="36" customFormat="false" ht="15" hidden="false" customHeight="false" outlineLevel="0" collapsed="false">
      <c r="A36" s="0" t="s">
        <v>44</v>
      </c>
      <c r="B36" s="0" t="n">
        <f aca="false">LEN(Data!D2)</f>
        <v>11</v>
      </c>
    </row>
    <row r="37" customFormat="false" ht="15" hidden="false" customHeight="false" outlineLevel="0" collapsed="false">
      <c r="A37" s="0" t="s">
        <v>45</v>
      </c>
      <c r="B37" s="0" t="str">
        <f aca="false">TRIM(Data!D1)</f>
        <v>padded</v>
      </c>
    </row>
    <row r="38" customFormat="false" ht="15" hidden="false" customHeight="false" outlineLevel="0" collapsed="false">
      <c r="A38" s="0" t="s">
        <v>46</v>
      </c>
      <c r="B38" s="0" t="str">
        <f aca="false">UPPER(Data!D3)</f>
        <v>MIXED CASE</v>
      </c>
    </row>
    <row r="39" customFormat="false" ht="15" hidden="false" customHeight="false" outlineLevel="0" collapsed="false">
      <c r="A39" s="0" t="s">
        <v>47</v>
      </c>
      <c r="B39" s="0" t="str">
        <f aca="false">LOWER(Data!D3)</f>
        <v>mixed case</v>
      </c>
    </row>
    <row r="40" customFormat="false" ht="15" hidden="false" customHeight="false" outlineLevel="0" collapsed="false">
      <c r="A40" s="0" t="s">
        <v>48</v>
      </c>
      <c r="B40" s="0" t="str">
        <f aca="false">PROPER(Data!D3)</f>
        <v>Mixed Case</v>
      </c>
    </row>
    <row r="41" customFormat="false" ht="15" hidden="false" customHeight="false" outlineLevel="0" collapsed="false">
      <c r="A41" s="0" t="s">
        <v>49</v>
      </c>
      <c r="B41" s="0" t="str">
        <f aca="false">SUBSTITUTE(Data!D2,"world","there")</f>
        <v>hello there</v>
      </c>
    </row>
    <row r="42" customFormat="false" ht="15" hidden="false" customHeight="false" outlineLevel="0" collapsed="false">
      <c r="A42" s="0" t="s">
        <v>50</v>
      </c>
      <c r="B42" s="0" t="str">
        <f aca="false">REPLACE(Data!D2,1,5,"HELLO")</f>
        <v>HELLO world</v>
      </c>
    </row>
    <row r="43" customFormat="false" ht="15" hidden="false" customHeight="false" outlineLevel="0" collapsed="false">
      <c r="A43" s="0" t="s">
        <v>51</v>
      </c>
      <c r="B43" s="0" t="str">
        <f aca="false">TEXT(1234.5,"#,##0.00")</f>
        <v>1,234.50</v>
      </c>
    </row>
    <row r="44" customFormat="false" ht="15" hidden="false" customHeight="false" outlineLevel="0" collapsed="false">
      <c r="A44" s="0" t="s">
        <v>52</v>
      </c>
      <c r="B44" s="0" t="n">
        <f aca="false">VALUE("123.45")</f>
        <v>123.45</v>
      </c>
    </row>
    <row r="45" customFormat="false" ht="15" hidden="false" customHeight="false" outlineLevel="0" collapsed="false">
      <c r="A45" s="0" t="s">
        <v>53</v>
      </c>
      <c r="B45" s="2" t="n">
        <f aca="false">DATE(2024,3,15)</f>
        <v>45366</v>
      </c>
    </row>
    <row r="46" customFormat="false" ht="15" hidden="false" customHeight="false" outlineLevel="0" collapsed="false">
      <c r="A46" s="0" t="s">
        <v>54</v>
      </c>
      <c r="B46" s="0" t="n">
        <f aca="false">YEAR(DATE(2024,3,15))</f>
        <v>2024</v>
      </c>
    </row>
    <row r="47" customFormat="false" ht="15" hidden="false" customHeight="false" outlineLevel="0" collapsed="false">
      <c r="A47" s="0" t="s">
        <v>55</v>
      </c>
      <c r="B47" s="0" t="n">
        <f aca="false">MONTH(DATE(2024,3,15))</f>
        <v>3</v>
      </c>
    </row>
    <row r="48" customFormat="false" ht="15" hidden="false" customHeight="false" outlineLevel="0" collapsed="false">
      <c r="A48" s="0" t="s">
        <v>56</v>
      </c>
      <c r="B48" s="0" t="n">
        <f aca="false">DAY(DATE(2024,3,15))</f>
        <v>15</v>
      </c>
    </row>
    <row r="49" customFormat="false" ht="15" hidden="false" customHeight="false" outlineLevel="0" collapsed="false">
      <c r="A49" s="0" t="s">
        <v>57</v>
      </c>
      <c r="B49" s="0" t="n">
        <f aca="false">EDATE(DATE(2024,1,31),1)</f>
        <v>45351</v>
      </c>
    </row>
    <row r="50" customFormat="false" ht="15" hidden="false" customHeight="false" outlineLevel="0" collapsed="false">
      <c r="A50" s="0" t="s">
        <v>58</v>
      </c>
      <c r="B50" s="0" t="n">
        <f aca="false">EOMONTH(DATE(2024,2,10),0)</f>
        <v>45351</v>
      </c>
    </row>
    <row r="51" customFormat="false" ht="15" hidden="false" customHeight="false" outlineLevel="0" collapsed="false">
      <c r="A51" s="0" t="s">
        <v>59</v>
      </c>
      <c r="B51" s="0" t="n">
        <f aca="false">DATEDIF(DATE(2024,1,1),DATE(2024,3,15),"d")</f>
        <v>74</v>
      </c>
    </row>
    <row r="52" customFormat="false" ht="15" hidden="false" customHeight="false" outlineLevel="0" collapsed="false">
      <c r="A52" s="0" t="s">
        <v>60</v>
      </c>
      <c r="B52" s="0" t="n">
        <f aca="false">WEEKDAY(DATE(2024,3,15))</f>
        <v>6</v>
      </c>
    </row>
    <row r="53" customFormat="false" ht="15" hidden="false" customHeight="false" outlineLevel="0" collapsed="false">
      <c r="A53" s="0" t="s">
        <v>61</v>
      </c>
      <c r="B53" s="0" t="n">
        <f aca="false">NETWORKDAYS(DATE(2024,3,1),DATE(2024,3,15))</f>
        <v>11</v>
      </c>
    </row>
    <row r="54" customFormat="false" ht="15" hidden="false" customHeight="false" outlineLevel="0" collapsed="false">
      <c r="A54" s="0" t="s">
        <v>62</v>
      </c>
      <c r="B54" s="0" t="n">
        <f aca="false">MEDIAN(Data!A1:A6)</f>
        <v>35</v>
      </c>
    </row>
    <row r="55" customFormat="false" ht="15" hidden="false" customHeight="false" outlineLevel="0" collapsed="false">
      <c r="A55" s="0" t="s">
        <v>63</v>
      </c>
      <c r="B55" s="0" t="n">
        <f aca="false">_xlfn.STDEV.P(Data!A1:A6)</f>
        <v>17.0782512765993</v>
      </c>
    </row>
    <row r="56" customFormat="false" ht="15" hidden="false" customHeight="false" outlineLevel="0" collapsed="false">
      <c r="A56" s="0" t="s">
        <v>64</v>
      </c>
      <c r="B56" s="0" t="n">
        <f aca="false">_xlfn.STDEV.S(Data!A1:A6)</f>
        <v>18.7082869338697</v>
      </c>
    </row>
    <row r="57" customFormat="false" ht="15" hidden="false" customHeight="false" outlineLevel="0" collapsed="false">
      <c r="A57" s="0" t="s">
        <v>65</v>
      </c>
      <c r="B57" s="0" t="n">
        <f aca="false">VAR(Data!A1:A6)</f>
        <v>350</v>
      </c>
    </row>
    <row r="58" customFormat="false" ht="15" hidden="false" customHeight="false" outlineLevel="0" collapsed="false">
      <c r="A58" s="0" t="s">
        <v>66</v>
      </c>
      <c r="B58" s="0" t="n">
        <f aca="false">PERCENTILE(Data!A1:A6,0.5)</f>
        <v>35</v>
      </c>
    </row>
    <row r="59" customFormat="false" ht="15" hidden="false" customHeight="false" outlineLevel="0" collapsed="false">
      <c r="A59" s="0" t="s">
        <v>67</v>
      </c>
      <c r="B59" s="0" t="n">
        <f aca="false">QUARTILE(Data!A1:A6,1)</f>
        <v>22.5</v>
      </c>
    </row>
    <row r="60" customFormat="false" ht="15" hidden="false" customHeight="false" outlineLevel="0" collapsed="false">
      <c r="A60" s="0" t="s">
        <v>68</v>
      </c>
      <c r="B60" s="0" t="n">
        <f aca="false">RANK(30,Data!A1:A6)</f>
        <v>4</v>
      </c>
    </row>
    <row r="61" customFormat="false" ht="15" hidden="false" customHeight="false" outlineLevel="0" collapsed="false">
      <c r="A61" s="0" t="s">
        <v>69</v>
      </c>
      <c r="B61" s="0" t="n">
        <f aca="false">CORREL(Data!A1:A6,Data!C1:C6)</f>
        <v>1</v>
      </c>
    </row>
    <row r="62" customFormat="false" ht="15" hidden="false" customHeight="false" outlineLevel="0" collapsed="false">
      <c r="A62" s="0" t="s">
        <v>70</v>
      </c>
      <c r="B62" s="0" t="n">
        <f aca="false">SUMIF(Data!B1:B6,"alpha",Data!A1:A6)</f>
        <v>50</v>
      </c>
    </row>
    <row r="63" customFormat="false" ht="15" hidden="false" customHeight="false" outlineLevel="0" collapsed="false">
      <c r="A63" s="0" t="s">
        <v>71</v>
      </c>
      <c r="B63" s="0" t="n">
        <f aca="false">SUMIFS(Data!A1:A6,Data!B1:B6,"beta")</f>
        <v>70</v>
      </c>
    </row>
    <row r="64" customFormat="false" ht="15" hidden="false" customHeight="false" outlineLevel="0" collapsed="false">
      <c r="A64" s="0" t="s">
        <v>72</v>
      </c>
      <c r="B64" s="0" t="n">
        <f aca="false">COUNTIF(Data!B1:B6,"gamma")</f>
        <v>2</v>
      </c>
    </row>
    <row r="65" customFormat="false" ht="15" hidden="false" customHeight="false" outlineLevel="0" collapsed="false">
      <c r="A65" s="0" t="s">
        <v>73</v>
      </c>
      <c r="B65" s="0" t="n">
        <f aca="false">COUNTIFS(Data!B1:B6,"alpha",Data!A1:A6,"&gt;15")</f>
        <v>1</v>
      </c>
    </row>
    <row r="66" customFormat="false" ht="15" hidden="false" customHeight="false" outlineLevel="0" collapsed="false">
      <c r="A66" s="0" t="s">
        <v>74</v>
      </c>
      <c r="B66" s="0" t="n">
        <f aca="false">AVERAGEIF(Data!B1:B6,"alpha",Data!A1:A6)</f>
        <v>25</v>
      </c>
    </row>
    <row r="67" customFormat="false" ht="15" hidden="false" customHeight="false" outlineLevel="0" collapsed="false">
      <c r="A67" s="0" t="s">
        <v>75</v>
      </c>
      <c r="B67" s="0" t="n">
        <f aca="false">AVERAGEIFS(Data!A1:A6,Data!B1:B6,"gamma")</f>
        <v>45</v>
      </c>
    </row>
    <row r="68" customFormat="false" ht="15" hidden="false" customHeight="false" outlineLevel="0" collapsed="false">
      <c r="A68" s="0" t="s">
        <v>76</v>
      </c>
      <c r="B68" s="0" t="n">
        <f aca="false">_xlfn.MAXIFS(Data!A1:A6,Data!B1:B6,"beta")</f>
        <v>50</v>
      </c>
    </row>
    <row r="69" customFormat="false" ht="15" hidden="false" customHeight="false" outlineLevel="0" collapsed="false">
      <c r="A69" s="0" t="s">
        <v>77</v>
      </c>
      <c r="B69" s="0" t="n">
        <f aca="false">_xlfn.MINIFS(Data!A1:A6,Data!B1:B6,"beta")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2026-08-23T16:55:04Z</dcterms:created>
  <dc:creator>openpyxl</dc:creator>
  <dc:description/>
  <dc:language>en-US</dc:language>
  <cp:lastModifiedBy/>
  <dcterms:modified xsi:type="dcterms:W3CDTF">2026-08-23T16:55:04Z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