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Preced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<sst xmlns="http://schemas.openxmlformats.org/spreadsheetml/2006/main" count="33" uniqueCount="33">
  <si>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unary minus binds tighter than ^</t>
  </si>
  <si>
    <t xml:space="preserve">same, with an odd exponent</t>
  </si>
  <si>
    <t xml:space="preserve">binary minus does NOT</t>
  </si>
  <si>
    <t xml:space="preserve">binary minus after a reference</t>
  </si>
  <si>
    <t xml:space="preserve">^ is left-associative</t>
  </si>
  <si>
    <t xml:space="preserve">^ left-associative again</t>
  </si>
  <si>
    <t xml:space="preserve">the maths reading, parenthesised</t>
  </si>
  <si>
    <t xml:space="preserve">parens force the maths reading</t>
  </si>
  <si>
    <t xml:space="preserve">parenthesised negative base</t>
  </si>
  <si>
    <t xml:space="preserve">unary minus on both sides</t>
  </si>
  <si>
    <t xml:space="preserve">negative exponent</t>
  </si>
  <si>
    <t xml:space="preserve">zero to the zero is 1</t>
  </si>
  <si>
    <t xml:space="preserve">^ over * over +</t>
  </si>
  <si>
    <t xml:space="preserve">unary minus then *</t>
  </si>
  <si>
    <t xml:space="preserve">unary minus after an operator</t>
  </si>
  <si>
    <t xml:space="preserve">^ then * left to right</t>
  </si>
  <si>
    <t xml:space="preserve">- is left-associative</t>
  </si>
  <si>
    <t xml:space="preserve">unary minus then +</t>
  </si>
  <si>
    <t xml:space="preserve">% is postfix and binds tightest</t>
  </si>
  <si>
    <t xml:space="preserve">% on a whole number</t>
  </si>
  <si>
    <t xml:space="preserve">unary minus inside a call</t>
  </si>
  <si>
    <t xml:space="preserve">negation of a reference</t>
  </si>
  <si>
    <t xml:space="preserve">&amp; binds tighter than =</t>
  </si>
  <si>
    <t xml:space="preserve">&amp; is left-associative</t>
  </si>
  <si>
    <t xml:space="preserve">&amp; result is text, not a number</t>
  </si>
  <si>
    <t xml:space="preserve">comparison of two comparisons</t>
  </si>
  <si>
    <t xml:space="preserve">text comparison</t>
  </si>
  <si>
    <t xml:space="preserve">range intersection is the space</t>
  </si>
  <si>
    <t xml:space="preserve">intersection of two columns</t>
  </si>
  <si>
    <t xml:space="preserve">: binds tighter than the space</t>
  </si>
  <si>
    <t xml:space="preserve">union is the comma</t>
  </si>
  <si>
    <t xml:space="preserve">boolean vs number comparison</t>
  </si>
  <si>
    <t xml:space="preserve">the same the other way round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</si>
</sst>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</row>
    <row r="2" customFormat="false" ht="15" hidden="false" customHeight="false" outlineLevel="0" collapsed="false">
      <c r="A2" s="0" t="n">
        <v>4</v>
      </c>
      <c r="B2" s="0" t="n">
        <v>5</v>
      </c>
      <c r="C2" s="0" t="n">
        <v>6</v>
      </c>
    </row>
    <row r="3" customFormat="false" ht="15" hidden="false" customHeight="false" outlineLevel="0" collapsed="false">
      <c r="A3" s="0" t="n">
        <v>7</v>
      </c>
      <c r="B3" s="0" t="n">
        <v>8</v>
      </c>
      <c r="C3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f aca="false">-2^2</f>
        <v>4</v>
      </c>
    </row>
    <row r="2" customFormat="false" ht="15" hidden="false" customHeight="false" outlineLevel="0" collapsed="false">
      <c r="A2" s="0" t="s">
        <v>1</v>
      </c>
      <c r="B2" s="0" t="n">
        <f aca="false">-3^2</f>
        <v>9</v>
      </c>
    </row>
    <row r="3" customFormat="false" ht="15" hidden="false" customHeight="false" outlineLevel="0" collapsed="false">
      <c r="A3" s="0" t="s">
        <v>2</v>
      </c>
      <c r="B3" s="0" t="n">
        <f aca="false">0-2^2</f>
        <v>-4</v>
      </c>
    </row>
    <row r="4" customFormat="false" ht="15" hidden="false" customHeight="false" outlineLevel="0" collapsed="false">
      <c r="A4" s="0" t="s">
        <v>3</v>
      </c>
      <c r="B4" s="0" t="n">
        <f aca="false">Data!A1-2^2</f>
        <v>-3</v>
      </c>
    </row>
    <row r="5" customFormat="false" ht="15" hidden="false" customHeight="false" outlineLevel="0" collapsed="false">
      <c r="A5" s="0" t="s">
        <v>4</v>
      </c>
      <c r="B5" s="0" t="n">
        <f aca="false">2^3^2</f>
        <v>64</v>
      </c>
    </row>
    <row r="6" customFormat="false" ht="15" hidden="false" customHeight="false" outlineLevel="0" collapsed="false">
      <c r="A6" s="0" t="s">
        <v>5</v>
      </c>
      <c r="B6" s="0" t="n">
        <f aca="false">2^2^3</f>
        <v>64</v>
      </c>
    </row>
    <row r="7" customFormat="false" ht="15" hidden="false" customHeight="false" outlineLevel="0" collapsed="false">
      <c r="A7" s="0" t="s">
        <v>6</v>
      </c>
      <c r="B7" s="0" t="n">
        <f aca="false">2^(2^3)</f>
        <v>256</v>
      </c>
    </row>
    <row r="8" customFormat="false" ht="15" hidden="false" customHeight="false" outlineLevel="0" collapsed="false">
      <c r="A8" s="0" t="s">
        <v>7</v>
      </c>
      <c r="B8" s="0" t="n">
        <f aca="false">-(2^2)</f>
        <v>-4</v>
      </c>
    </row>
    <row r="9" customFormat="false" ht="15" hidden="false" customHeight="false" outlineLevel="0" collapsed="false">
      <c r="A9" s="0" t="s">
        <v>8</v>
      </c>
      <c r="B9" s="0" t="n">
        <f aca="false">(-2)^2</f>
        <v>4</v>
      </c>
    </row>
    <row r="10" customFormat="false" ht="15" hidden="false" customHeight="false" outlineLevel="0" collapsed="false">
      <c r="A10" s="0" t="s">
        <v>9</v>
      </c>
      <c r="B10" s="0" t="n">
        <f aca="false">-2^-2</f>
        <v>0.25</v>
      </c>
    </row>
    <row r="11" customFormat="false" ht="15" hidden="false" customHeight="false" outlineLevel="0" collapsed="false">
      <c r="A11" s="0" t="s">
        <v>10</v>
      </c>
      <c r="B11" s="0" t="n">
        <f aca="false">2^-1</f>
        <v>0.5</v>
      </c>
    </row>
    <row r="12" customFormat="false" ht="15" hidden="false" customHeight="false" outlineLevel="0" collapsed="false">
      <c r="A12" s="0" t="s">
        <v>11</v>
      </c>
      <c r="B12" s="0" t="n">
        <f aca="false">0^0</f>
        <v>1</v>
      </c>
    </row>
    <row r="13" customFormat="false" ht="15" hidden="false" customHeight="false" outlineLevel="0" collapsed="false">
      <c r="A13" s="0" t="s">
        <v>12</v>
      </c>
      <c r="B13" s="0" t="n">
        <f aca="false">1+2*3^2</f>
        <v>19</v>
      </c>
    </row>
    <row r="14" customFormat="false" ht="15" hidden="false" customHeight="false" outlineLevel="0" collapsed="false">
      <c r="A14" s="0" t="s">
        <v>13</v>
      </c>
      <c r="B14" s="0" t="n">
        <f aca="false">-2^2*3</f>
        <v>12</v>
      </c>
    </row>
    <row r="15" customFormat="false" ht="15" hidden="false" customHeight="false" outlineLevel="0" collapsed="false">
      <c r="A15" s="0" t="s">
        <v>14</v>
      </c>
      <c r="B15" s="0" t="n">
        <f aca="false">2*-3^2</f>
        <v>18</v>
      </c>
    </row>
    <row r="16" customFormat="false" ht="15" hidden="false" customHeight="false" outlineLevel="0" collapsed="false">
      <c r="A16" s="0" t="s">
        <v>15</v>
      </c>
      <c r="B16" s="0" t="n">
        <f aca="false">2^3*2</f>
        <v>16</v>
      </c>
    </row>
    <row r="17" customFormat="false" ht="15" hidden="false" customHeight="false" outlineLevel="0" collapsed="false">
      <c r="A17" s="0" t="s">
        <v>16</v>
      </c>
      <c r="B17" s="0" t="n">
        <f aca="false">1-2-3</f>
        <v>-4</v>
      </c>
    </row>
    <row r="18" customFormat="false" ht="15" hidden="false" customHeight="false" outlineLevel="0" collapsed="false">
      <c r="A18" s="0" t="s">
        <v>17</v>
      </c>
      <c r="B18" s="0" t="n">
        <f aca="false">-2^2+1</f>
        <v>5</v>
      </c>
    </row>
    <row r="19" customFormat="false" ht="15" hidden="false" customHeight="false" outlineLevel="0" collapsed="false">
      <c r="A19" s="0" t="s">
        <v>18</v>
      </c>
      <c r="B19" s="0" t="n">
        <f aca="false">50%*2</f>
        <v>1</v>
      </c>
    </row>
    <row r="20" customFormat="false" ht="15" hidden="false" customHeight="false" outlineLevel="0" collapsed="false">
      <c r="A20" s="0" t="s">
        <v>19</v>
      </c>
      <c r="B20" s="1" t="n">
        <f aca="false">100%</f>
        <v>1</v>
      </c>
    </row>
    <row r="21" customFormat="false" ht="15" hidden="false" customHeight="false" outlineLevel="0" collapsed="false">
      <c r="A21" s="0" t="s">
        <v>20</v>
      </c>
      <c r="B21" s="0" t="n">
        <f aca="false">SUM(-2^2)</f>
        <v>4</v>
      </c>
    </row>
    <row r="22" customFormat="false" ht="15" hidden="false" customHeight="false" outlineLevel="0" collapsed="false">
      <c r="A22" s="0" t="s">
        <v>21</v>
      </c>
      <c r="B22" s="0" t="n">
        <f aca="false">-Data!A2^2</f>
        <v>16</v>
      </c>
    </row>
    <row r="23" customFormat="false" ht="15" hidden="false" customHeight="false" outlineLevel="0" collapsed="false">
      <c r="A23" s="0" t="s">
        <v>22</v>
      </c>
      <c r="B23" s="2" t="b">
        <f aca="false">"a"&amp;"b"="ab"</f>
        <v>1</v>
      </c>
    </row>
    <row r="24" customFormat="false" ht="15" hidden="false" customHeight="false" outlineLevel="0" collapsed="false">
      <c r="A24" s="0" t="s">
        <v>23</v>
      </c>
      <c r="B24" s="0" t="str">
        <f aca="false">1&amp;2&amp;3</f>
        <v>123</v>
      </c>
    </row>
    <row r="25" customFormat="false" ht="15" hidden="false" customHeight="false" outlineLevel="0" collapsed="false">
      <c r="A25" s="0" t="s">
        <v>24</v>
      </c>
      <c r="B25" s="2" t="b">
        <f aca="false">"1"&amp;2=12</f>
        <v>0</v>
      </c>
    </row>
    <row r="26" customFormat="false" ht="15" hidden="false" customHeight="false" outlineLevel="0" collapsed="false">
      <c r="A26" s="0" t="s">
        <v>25</v>
      </c>
      <c r="B26" s="2" t="b">
        <f aca="false">1&lt;2=(1=1)</f>
        <v>1</v>
      </c>
    </row>
    <row r="27" customFormat="false" ht="15" hidden="false" customHeight="false" outlineLevel="0" collapsed="false">
      <c r="A27" s="0" t="s">
        <v>26</v>
      </c>
      <c r="B27" s="2" t="b">
        <f aca="false">"a"&lt;"b"</f>
        <v>1</v>
      </c>
    </row>
    <row r="28" customFormat="false" ht="15" hidden="false" customHeight="false" outlineLevel="0" collapsed="false">
      <c r="A28" s="0" t="s">
        <v>27</v>
      </c>
      <c r="B28" s="0" t="n">
        <f aca="false">SUM(Data!A1:C1 Data!A1:A3)</f>
        <v>1</v>
      </c>
    </row>
    <row r="29" customFormat="false" ht="15" hidden="false" customHeight="false" outlineLevel="0" collapsed="false">
      <c r="A29" s="0" t="s">
        <v>28</v>
      </c>
      <c r="B29" s="0" t="n">
        <f aca="false">SUM(Data!A1:A2 Data!A2:A3)</f>
        <v>4</v>
      </c>
    </row>
    <row r="30" customFormat="false" ht="15" hidden="false" customHeight="false" outlineLevel="0" collapsed="false">
      <c r="A30" s="0" t="s">
        <v>29</v>
      </c>
      <c r="B30" s="0" t="n">
        <f aca="false">SUM(Data!A1:B2 Data!B2:C3)</f>
        <v>5</v>
      </c>
    </row>
    <row r="31" customFormat="false" ht="15" hidden="false" customHeight="false" outlineLevel="0" collapsed="false">
      <c r="A31" s="0" t="s">
        <v>30</v>
      </c>
      <c r="B31" s="0" t="n">
        <f aca="false">SUM(Data!A1:A2,Data!C1:C2)</f>
        <v>14</v>
      </c>
    </row>
    <row r="32" customFormat="false" ht="15" hidden="false" customHeight="false" outlineLevel="0" collapsed="false">
      <c r="A32" s="0" t="s">
        <v>31</v>
      </c>
      <c r="B32" s="2" t="b">
        <f aca="false">1&lt;2&lt;3</f>
        <v>1</v>
      </c>
    </row>
    <row r="33" customFormat="false" ht="15" hidden="false" customHeight="false" outlineLevel="0" collapsed="false">
      <c r="A33" s="0" t="s">
        <v>32</v>
      </c>
      <c r="B33" s="2" t="b">
        <f aca="false">3&gt;2&gt;1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2026-08-23T19:21:50Z</dcterms:created>
  <dc:creator>openpyxl</dc:creator>
  <dc:description/>
  <dc:language>en-US</dc:language>
  <cp:lastModifiedBy/>
  <dcterms:modified xsi:type="dcterms:W3CDTF">2026-08-23T19:21:50Z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